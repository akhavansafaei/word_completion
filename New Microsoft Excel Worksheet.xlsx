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esk\desktop\projects\Word Completion - (dictionary implementation)\"/>
    </mc:Choice>
  </mc:AlternateContent>
  <xr:revisionPtr revIDLastSave="0" documentId="13_ncr:1_{34EEFBA9-66FD-4A01-B823-D6BF43A55719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8" i="1" l="1"/>
  <c r="G29" i="1"/>
  <c r="G30" i="1"/>
  <c r="G31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4" i="1"/>
  <c r="L29" i="1"/>
  <c r="L30" i="1"/>
  <c r="L31" i="1"/>
  <c r="L36" i="1"/>
  <c r="L37" i="1"/>
  <c r="L38" i="1"/>
  <c r="L39" i="1"/>
  <c r="L28" i="1"/>
  <c r="L26" i="1"/>
  <c r="L27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4" i="1"/>
  <c r="Q28" i="1"/>
  <c r="Q29" i="1"/>
  <c r="Q30" i="1"/>
  <c r="Q31" i="1"/>
  <c r="Q32" i="1"/>
  <c r="Q33" i="1"/>
  <c r="Q34" i="1"/>
  <c r="Q35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4" i="1"/>
  <c r="Q36" i="1"/>
  <c r="Q37" i="1"/>
  <c r="Q38" i="1"/>
  <c r="Q39" i="1"/>
  <c r="G36" i="1"/>
  <c r="G37" i="1"/>
  <c r="G38" i="1"/>
  <c r="G39" i="1"/>
</calcChain>
</file>

<file path=xl/sharedStrings.xml><?xml version="1.0" encoding="utf-8"?>
<sst xmlns="http://schemas.openxmlformats.org/spreadsheetml/2006/main" count="62" uniqueCount="20">
  <si>
    <t>time</t>
  </si>
  <si>
    <t>array</t>
  </si>
  <si>
    <t>linkedlist</t>
  </si>
  <si>
    <t>trie</t>
  </si>
  <si>
    <t>size</t>
  </si>
  <si>
    <t>action</t>
  </si>
  <si>
    <t>Word1</t>
  </si>
  <si>
    <t>Word2</t>
  </si>
  <si>
    <t>Word3</t>
  </si>
  <si>
    <t>Word4</t>
  </si>
  <si>
    <t>avg</t>
  </si>
  <si>
    <t>Add</t>
  </si>
  <si>
    <t>search</t>
  </si>
  <si>
    <t>A.C</t>
  </si>
  <si>
    <t>delete</t>
  </si>
  <si>
    <t>10k</t>
  </si>
  <si>
    <t>20k</t>
  </si>
  <si>
    <t>50k</t>
  </si>
  <si>
    <t>100k</t>
  </si>
  <si>
    <t>200k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</si>
</sst>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12"/>
      <color theme="1"/>
      <name val="Times New Roman"/>
      <family val="1"/>
    </font>
    <font>
      <sz val="9"/>
      <color theme="1"/>
      <name val="Times New Roman"/>
      <family val="1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b/>
      <sz val="7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textRotation="180" wrapText="1"/>
    </xf>
    <xf numFmtId="0" fontId="2" fillId="0" borderId="3" xfId="0" applyFont="1" applyBorder="1" applyAlignment="1">
      <alignment horizontal="center" vertical="center" textRotation="180" wrapText="1"/>
    </xf>
    <xf numFmtId="0" fontId="3" fillId="0" borderId="3" xfId="0" applyFont="1" applyBorder="1" applyAlignment="1">
      <alignment horizontal="center" vertical="center" textRotation="180" wrapText="1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0"/>
          <c:tx>
            <c:strRef>
              <c:f>Sheet1!$G$1:$G$2</c:f>
              <c:strCache>
                <c:ptCount val="2"/>
                <c:pt idx="0">
                  <c:v>time</c:v>
                </c:pt>
                <c:pt idx="1">
                  <c:v>array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Sheet1!$A$3:$B$35</c:f>
              <c:multiLvlStrCache>
                <c:ptCount val="33"/>
                <c:lvl>
                  <c:pt idx="0">
                    <c:v>action</c:v>
                  </c:pt>
                  <c:pt idx="1">
                    <c:v>Add</c:v>
                  </c:pt>
                  <c:pt idx="2">
                    <c:v>search</c:v>
                  </c:pt>
                  <c:pt idx="3">
                    <c:v>A.C</c:v>
                  </c:pt>
                  <c:pt idx="4">
                    <c:v>delete</c:v>
                  </c:pt>
                  <c:pt idx="5">
                    <c:v>Add</c:v>
                  </c:pt>
                  <c:pt idx="6">
                    <c:v>search</c:v>
                  </c:pt>
                  <c:pt idx="7">
                    <c:v>A.C</c:v>
                  </c:pt>
                  <c:pt idx="8">
                    <c:v>delete</c:v>
                  </c:pt>
                  <c:pt idx="9">
                    <c:v>Add</c:v>
                  </c:pt>
                  <c:pt idx="10">
                    <c:v>search</c:v>
                  </c:pt>
                  <c:pt idx="11">
                    <c:v>A.C</c:v>
                  </c:pt>
                  <c:pt idx="12">
                    <c:v>delete</c:v>
                  </c:pt>
                  <c:pt idx="13">
                    <c:v>Add</c:v>
                  </c:pt>
                  <c:pt idx="14">
                    <c:v>search</c:v>
                  </c:pt>
                  <c:pt idx="15">
                    <c:v>A.C</c:v>
                  </c:pt>
                  <c:pt idx="16">
                    <c:v>delete</c:v>
                  </c:pt>
                  <c:pt idx="17">
                    <c:v>Add</c:v>
                  </c:pt>
                  <c:pt idx="18">
                    <c:v>search</c:v>
                  </c:pt>
                  <c:pt idx="19">
                    <c:v>A.C</c:v>
                  </c:pt>
                  <c:pt idx="20">
                    <c:v>delete</c:v>
                  </c:pt>
                  <c:pt idx="21">
                    <c:v>Add</c:v>
                  </c:pt>
                  <c:pt idx="22">
                    <c:v>search</c:v>
                  </c:pt>
                  <c:pt idx="23">
                    <c:v>A.C</c:v>
                  </c:pt>
                  <c:pt idx="24">
                    <c:v>delete</c:v>
                  </c:pt>
                  <c:pt idx="25">
                    <c:v>Add</c:v>
                  </c:pt>
                  <c:pt idx="26">
                    <c:v>search</c:v>
                  </c:pt>
                  <c:pt idx="27">
                    <c:v>A.C</c:v>
                  </c:pt>
                  <c:pt idx="28">
                    <c:v>delete</c:v>
                  </c:pt>
                  <c:pt idx="29">
                    <c:v>Add</c:v>
                  </c:pt>
                  <c:pt idx="30">
                    <c:v>search</c:v>
                  </c:pt>
                  <c:pt idx="31">
                    <c:v>A.C</c:v>
                  </c:pt>
                  <c:pt idx="32">
                    <c:v>delete</c:v>
                  </c:pt>
                </c:lvl>
                <c:lvl>
                  <c:pt idx="0">
                    <c:v>size</c:v>
                  </c:pt>
                  <c:pt idx="1">
                    <c:v>500</c:v>
                  </c:pt>
                  <c:pt idx="5">
                    <c:v>1000</c:v>
                  </c:pt>
                  <c:pt idx="9">
                    <c:v>2000</c:v>
                  </c:pt>
                  <c:pt idx="13">
                    <c:v>5000</c:v>
                  </c:pt>
                  <c:pt idx="17">
                    <c:v>10k</c:v>
                  </c:pt>
                  <c:pt idx="21">
                    <c:v>20k</c:v>
                  </c:pt>
                  <c:pt idx="25">
                    <c:v>50k</c:v>
                  </c:pt>
                  <c:pt idx="29">
                    <c:v>100k</c:v>
                  </c:pt>
                </c:lvl>
              </c:multiLvlStrCache>
            </c:multiLvlStrRef>
          </c:cat>
          <c:val>
            <c:numRef>
              <c:f>Sheet1!$G$3:$G$35</c:f>
              <c:numCache>
                <c:formatCode>General</c:formatCode>
                <c:ptCount val="33"/>
                <c:pt idx="0">
                  <c:v>0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7.0000000000000007E-2</c:v>
                </c:pt>
                <c:pt idx="5">
                  <c:v>0.1</c:v>
                </c:pt>
                <c:pt idx="6">
                  <c:v>0.47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0.15</c:v>
                </c:pt>
                <c:pt idx="10">
                  <c:v>0.16</c:v>
                </c:pt>
                <c:pt idx="11">
                  <c:v>0.25</c:v>
                </c:pt>
                <c:pt idx="12">
                  <c:v>0.15</c:v>
                </c:pt>
                <c:pt idx="13">
                  <c:v>0.68</c:v>
                </c:pt>
                <c:pt idx="14">
                  <c:v>0.66</c:v>
                </c:pt>
                <c:pt idx="15">
                  <c:v>0.67</c:v>
                </c:pt>
                <c:pt idx="16">
                  <c:v>0.8</c:v>
                </c:pt>
                <c:pt idx="17">
                  <c:v>3.39</c:v>
                </c:pt>
                <c:pt idx="18">
                  <c:v>3.37</c:v>
                </c:pt>
                <c:pt idx="19">
                  <c:v>3.36</c:v>
                </c:pt>
                <c:pt idx="20">
                  <c:v>3.37</c:v>
                </c:pt>
                <c:pt idx="21">
                  <c:v>17.87</c:v>
                </c:pt>
                <c:pt idx="22">
                  <c:v>17.3</c:v>
                </c:pt>
                <c:pt idx="23">
                  <c:v>18.89</c:v>
                </c:pt>
                <c:pt idx="24">
                  <c:v>17.899999999999999</c:v>
                </c:pt>
                <c:pt idx="25">
                  <c:v>263</c:v>
                </c:pt>
                <c:pt idx="26">
                  <c:v>167.15</c:v>
                </c:pt>
                <c:pt idx="27">
                  <c:v>272.5</c:v>
                </c:pt>
                <c:pt idx="28">
                  <c:v>273.2</c:v>
                </c:pt>
                <c:pt idx="29">
                  <c:v>1361</c:v>
                </c:pt>
                <c:pt idx="30">
                  <c:v>1339</c:v>
                </c:pt>
                <c:pt idx="31">
                  <c:v>1329</c:v>
                </c:pt>
                <c:pt idx="32">
                  <c:v>1333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20-48B8-AE4A-8440BAD91953}"/>
            </c:ext>
          </c:extLst>
        </c:ser>
        <c:ser>
          <c:idx val="9"/>
          <c:order val="1"/>
          <c:tx>
            <c:strRef>
              <c:f>Sheet1!$L$1:$L$2</c:f>
              <c:strCache>
                <c:ptCount val="2"/>
                <c:pt idx="0">
                  <c:v>time</c:v>
                </c:pt>
                <c:pt idx="1">
                  <c:v>linkedlist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Sheet1!$A$3:$B$35</c:f>
              <c:multiLvlStrCache>
                <c:ptCount val="33"/>
                <c:lvl>
                  <c:pt idx="0">
                    <c:v>action</c:v>
                  </c:pt>
                  <c:pt idx="1">
                    <c:v>Add</c:v>
                  </c:pt>
                  <c:pt idx="2">
                    <c:v>search</c:v>
                  </c:pt>
                  <c:pt idx="3">
                    <c:v>A.C</c:v>
                  </c:pt>
                  <c:pt idx="4">
                    <c:v>delete</c:v>
                  </c:pt>
                  <c:pt idx="5">
                    <c:v>Add</c:v>
                  </c:pt>
                  <c:pt idx="6">
                    <c:v>search</c:v>
                  </c:pt>
                  <c:pt idx="7">
                    <c:v>A.C</c:v>
                  </c:pt>
                  <c:pt idx="8">
                    <c:v>delete</c:v>
                  </c:pt>
                  <c:pt idx="9">
                    <c:v>Add</c:v>
                  </c:pt>
                  <c:pt idx="10">
                    <c:v>search</c:v>
                  </c:pt>
                  <c:pt idx="11">
                    <c:v>A.C</c:v>
                  </c:pt>
                  <c:pt idx="12">
                    <c:v>delete</c:v>
                  </c:pt>
                  <c:pt idx="13">
                    <c:v>Add</c:v>
                  </c:pt>
                  <c:pt idx="14">
                    <c:v>search</c:v>
                  </c:pt>
                  <c:pt idx="15">
                    <c:v>A.C</c:v>
                  </c:pt>
                  <c:pt idx="16">
                    <c:v>delete</c:v>
                  </c:pt>
                  <c:pt idx="17">
                    <c:v>Add</c:v>
                  </c:pt>
                  <c:pt idx="18">
                    <c:v>search</c:v>
                  </c:pt>
                  <c:pt idx="19">
                    <c:v>A.C</c:v>
                  </c:pt>
                  <c:pt idx="20">
                    <c:v>delete</c:v>
                  </c:pt>
                  <c:pt idx="21">
                    <c:v>Add</c:v>
                  </c:pt>
                  <c:pt idx="22">
                    <c:v>search</c:v>
                  </c:pt>
                  <c:pt idx="23">
                    <c:v>A.C</c:v>
                  </c:pt>
                  <c:pt idx="24">
                    <c:v>delete</c:v>
                  </c:pt>
                  <c:pt idx="25">
                    <c:v>Add</c:v>
                  </c:pt>
                  <c:pt idx="26">
                    <c:v>search</c:v>
                  </c:pt>
                  <c:pt idx="27">
                    <c:v>A.C</c:v>
                  </c:pt>
                  <c:pt idx="28">
                    <c:v>delete</c:v>
                  </c:pt>
                  <c:pt idx="29">
                    <c:v>Add</c:v>
                  </c:pt>
                  <c:pt idx="30">
                    <c:v>search</c:v>
                  </c:pt>
                  <c:pt idx="31">
                    <c:v>A.C</c:v>
                  </c:pt>
                  <c:pt idx="32">
                    <c:v>delete</c:v>
                  </c:pt>
                </c:lvl>
                <c:lvl>
                  <c:pt idx="0">
                    <c:v>size</c:v>
                  </c:pt>
                  <c:pt idx="1">
                    <c:v>500</c:v>
                  </c:pt>
                  <c:pt idx="5">
                    <c:v>1000</c:v>
                  </c:pt>
                  <c:pt idx="9">
                    <c:v>2000</c:v>
                  </c:pt>
                  <c:pt idx="13">
                    <c:v>5000</c:v>
                  </c:pt>
                  <c:pt idx="17">
                    <c:v>10k</c:v>
                  </c:pt>
                  <c:pt idx="21">
                    <c:v>20k</c:v>
                  </c:pt>
                  <c:pt idx="25">
                    <c:v>50k</c:v>
                  </c:pt>
                  <c:pt idx="29">
                    <c:v>100k</c:v>
                  </c:pt>
                </c:lvl>
              </c:multiLvlStrCache>
            </c:multiLvlStrRef>
          </c:cat>
          <c:val>
            <c:numRef>
              <c:f>Sheet1!$L$3:$L$35</c:f>
              <c:numCache>
                <c:formatCode>General</c:formatCode>
                <c:ptCount val="33"/>
                <c:pt idx="0">
                  <c:v>0</c:v>
                </c:pt>
                <c:pt idx="1">
                  <c:v>0.21</c:v>
                </c:pt>
                <c:pt idx="2">
                  <c:v>0.11</c:v>
                </c:pt>
                <c:pt idx="3">
                  <c:v>0.06</c:v>
                </c:pt>
                <c:pt idx="4">
                  <c:v>7.0000000000000007E-2</c:v>
                </c:pt>
                <c:pt idx="5">
                  <c:v>0.13</c:v>
                </c:pt>
                <c:pt idx="6">
                  <c:v>0.22</c:v>
                </c:pt>
                <c:pt idx="7">
                  <c:v>0.13</c:v>
                </c:pt>
                <c:pt idx="8">
                  <c:v>0.13</c:v>
                </c:pt>
                <c:pt idx="9">
                  <c:v>0.28999999999999998</c:v>
                </c:pt>
                <c:pt idx="10">
                  <c:v>0.28999999999999998</c:v>
                </c:pt>
                <c:pt idx="11">
                  <c:v>0.4</c:v>
                </c:pt>
                <c:pt idx="12">
                  <c:v>0.28000000000000003</c:v>
                </c:pt>
                <c:pt idx="13">
                  <c:v>1.41</c:v>
                </c:pt>
                <c:pt idx="14">
                  <c:v>1.77</c:v>
                </c:pt>
                <c:pt idx="15">
                  <c:v>1.74</c:v>
                </c:pt>
                <c:pt idx="16">
                  <c:v>1.62</c:v>
                </c:pt>
                <c:pt idx="17">
                  <c:v>5.98</c:v>
                </c:pt>
                <c:pt idx="18">
                  <c:v>5.98</c:v>
                </c:pt>
                <c:pt idx="19">
                  <c:v>6</c:v>
                </c:pt>
                <c:pt idx="20">
                  <c:v>5.95</c:v>
                </c:pt>
                <c:pt idx="21">
                  <c:v>23.87</c:v>
                </c:pt>
                <c:pt idx="22">
                  <c:v>24.17</c:v>
                </c:pt>
                <c:pt idx="23">
                  <c:v>24.03</c:v>
                </c:pt>
                <c:pt idx="24">
                  <c:v>23.42</c:v>
                </c:pt>
                <c:pt idx="25">
                  <c:v>154.80000000000001</c:v>
                </c:pt>
                <c:pt idx="26">
                  <c:v>153.9</c:v>
                </c:pt>
                <c:pt idx="27">
                  <c:v>154.80000000000001</c:v>
                </c:pt>
                <c:pt idx="28">
                  <c:v>155.6</c:v>
                </c:pt>
                <c:pt idx="29">
                  <c:v>614.29999999999995</c:v>
                </c:pt>
                <c:pt idx="30">
                  <c:v>588</c:v>
                </c:pt>
                <c:pt idx="31">
                  <c:v>594</c:v>
                </c:pt>
                <c:pt idx="32">
                  <c:v>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420-48B8-AE4A-8440BAD91953}"/>
            </c:ext>
          </c:extLst>
        </c:ser>
        <c:ser>
          <c:idx val="14"/>
          <c:order val="2"/>
          <c:tx>
            <c:strRef>
              <c:f>Sheet1!$Q$1:$Q$2</c:f>
              <c:strCache>
                <c:ptCount val="2"/>
                <c:pt idx="0">
                  <c:v>time</c:v>
                </c:pt>
                <c:pt idx="1">
                  <c:v>trie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Sheet1!$A$3:$B$35</c:f>
              <c:multiLvlStrCache>
                <c:ptCount val="33"/>
                <c:lvl>
                  <c:pt idx="0">
                    <c:v>action</c:v>
                  </c:pt>
                  <c:pt idx="1">
                    <c:v>Add</c:v>
                  </c:pt>
                  <c:pt idx="2">
                    <c:v>search</c:v>
                  </c:pt>
                  <c:pt idx="3">
                    <c:v>A.C</c:v>
                  </c:pt>
                  <c:pt idx="4">
                    <c:v>delete</c:v>
                  </c:pt>
                  <c:pt idx="5">
                    <c:v>Add</c:v>
                  </c:pt>
                  <c:pt idx="6">
                    <c:v>search</c:v>
                  </c:pt>
                  <c:pt idx="7">
                    <c:v>A.C</c:v>
                  </c:pt>
                  <c:pt idx="8">
                    <c:v>delete</c:v>
                  </c:pt>
                  <c:pt idx="9">
                    <c:v>Add</c:v>
                  </c:pt>
                  <c:pt idx="10">
                    <c:v>search</c:v>
                  </c:pt>
                  <c:pt idx="11">
                    <c:v>A.C</c:v>
                  </c:pt>
                  <c:pt idx="12">
                    <c:v>delete</c:v>
                  </c:pt>
                  <c:pt idx="13">
                    <c:v>Add</c:v>
                  </c:pt>
                  <c:pt idx="14">
                    <c:v>search</c:v>
                  </c:pt>
                  <c:pt idx="15">
                    <c:v>A.C</c:v>
                  </c:pt>
                  <c:pt idx="16">
                    <c:v>delete</c:v>
                  </c:pt>
                  <c:pt idx="17">
                    <c:v>Add</c:v>
                  </c:pt>
                  <c:pt idx="18">
                    <c:v>search</c:v>
                  </c:pt>
                  <c:pt idx="19">
                    <c:v>A.C</c:v>
                  </c:pt>
                  <c:pt idx="20">
                    <c:v>delete</c:v>
                  </c:pt>
                  <c:pt idx="21">
                    <c:v>Add</c:v>
                  </c:pt>
                  <c:pt idx="22">
                    <c:v>search</c:v>
                  </c:pt>
                  <c:pt idx="23">
                    <c:v>A.C</c:v>
                  </c:pt>
                  <c:pt idx="24">
                    <c:v>delete</c:v>
                  </c:pt>
                  <c:pt idx="25">
                    <c:v>Add</c:v>
                  </c:pt>
                  <c:pt idx="26">
                    <c:v>search</c:v>
                  </c:pt>
                  <c:pt idx="27">
                    <c:v>A.C</c:v>
                  </c:pt>
                  <c:pt idx="28">
                    <c:v>delete</c:v>
                  </c:pt>
                  <c:pt idx="29">
                    <c:v>Add</c:v>
                  </c:pt>
                  <c:pt idx="30">
                    <c:v>search</c:v>
                  </c:pt>
                  <c:pt idx="31">
                    <c:v>A.C</c:v>
                  </c:pt>
                  <c:pt idx="32">
                    <c:v>delete</c:v>
                  </c:pt>
                </c:lvl>
                <c:lvl>
                  <c:pt idx="0">
                    <c:v>size</c:v>
                  </c:pt>
                  <c:pt idx="1">
                    <c:v>500</c:v>
                  </c:pt>
                  <c:pt idx="5">
                    <c:v>1000</c:v>
                  </c:pt>
                  <c:pt idx="9">
                    <c:v>2000</c:v>
                  </c:pt>
                  <c:pt idx="13">
                    <c:v>5000</c:v>
                  </c:pt>
                  <c:pt idx="17">
                    <c:v>10k</c:v>
                  </c:pt>
                  <c:pt idx="21">
                    <c:v>20k</c:v>
                  </c:pt>
                  <c:pt idx="25">
                    <c:v>50k</c:v>
                  </c:pt>
                  <c:pt idx="29">
                    <c:v>100k</c:v>
                  </c:pt>
                </c:lvl>
              </c:multiLvlStrCache>
            </c:multiLvlStrRef>
          </c:cat>
          <c:val>
            <c:numRef>
              <c:f>Sheet1!$Q$3:$Q$35</c:f>
              <c:numCache>
                <c:formatCode>General</c:formatCode>
                <c:ptCount val="33"/>
                <c:pt idx="0">
                  <c:v>0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0.05</c:v>
                </c:pt>
                <c:pt idx="5">
                  <c:v>0.51</c:v>
                </c:pt>
                <c:pt idx="6">
                  <c:v>0.47</c:v>
                </c:pt>
                <c:pt idx="7">
                  <c:v>0.06</c:v>
                </c:pt>
                <c:pt idx="8">
                  <c:v>0.06</c:v>
                </c:pt>
                <c:pt idx="9">
                  <c:v>7.0000000000000007E-2</c:v>
                </c:pt>
                <c:pt idx="10">
                  <c:v>0.08</c:v>
                </c:pt>
                <c:pt idx="11">
                  <c:v>0.09</c:v>
                </c:pt>
                <c:pt idx="12">
                  <c:v>7.0000000000000007E-2</c:v>
                </c:pt>
                <c:pt idx="13">
                  <c:v>0.13</c:v>
                </c:pt>
                <c:pt idx="14">
                  <c:v>0.13</c:v>
                </c:pt>
                <c:pt idx="15">
                  <c:v>0.13</c:v>
                </c:pt>
                <c:pt idx="16">
                  <c:v>0.13</c:v>
                </c:pt>
                <c:pt idx="17">
                  <c:v>0.23</c:v>
                </c:pt>
                <c:pt idx="18">
                  <c:v>0.22</c:v>
                </c:pt>
                <c:pt idx="19">
                  <c:v>0.22</c:v>
                </c:pt>
                <c:pt idx="20">
                  <c:v>0.21</c:v>
                </c:pt>
                <c:pt idx="21">
                  <c:v>0.41</c:v>
                </c:pt>
                <c:pt idx="22">
                  <c:v>0.4</c:v>
                </c:pt>
                <c:pt idx="23">
                  <c:v>0.41</c:v>
                </c:pt>
                <c:pt idx="24">
                  <c:v>0.41</c:v>
                </c:pt>
                <c:pt idx="25">
                  <c:v>1.18</c:v>
                </c:pt>
                <c:pt idx="26">
                  <c:v>1.07</c:v>
                </c:pt>
                <c:pt idx="27">
                  <c:v>1.08</c:v>
                </c:pt>
                <c:pt idx="28">
                  <c:v>1.0900000000000001</c:v>
                </c:pt>
                <c:pt idx="29">
                  <c:v>2.2000000000000002</c:v>
                </c:pt>
                <c:pt idx="30">
                  <c:v>2.08</c:v>
                </c:pt>
                <c:pt idx="31">
                  <c:v>2.09</c:v>
                </c:pt>
                <c:pt idx="32">
                  <c:v>2.2400000000000002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420-48B8-AE4A-8440BAD91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13292383"/>
        <c:axId val="1813298207"/>
      </c:barChart>
      <c:catAx>
        <c:axId val="181329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298207"/>
        <c:crosses val="autoZero"/>
        <c:auto val="1"/>
        <c:lblAlgn val="ctr"/>
        <c:lblOffset val="100"/>
        <c:noMultiLvlLbl val="0"/>
      </c:catAx>
      <c:valAx>
        <c:axId val="181329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29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76201</xdr:colOff>
      <xdr:row>0</xdr:row>
      <xdr:rowOff>62591</xdr:rowOff>
    </xdr:from>
    <xdr:to>
      <xdr:col>52</xdr:col>
      <xdr:colOff>612054</xdr:colOff>
      <xdr:row>90</xdr:row>
      <xdr:rowOff>69436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7A6A39-44B7-4995-B9AE-C665DDDE3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9"/>
  <sheetViews>
    <sheetView tabSelected="1" topLeftCell="K23" zoomScale="40" zoomScaleNormal="40" workbookViewId="0">
      <selection activeCell="AG92" sqref="AG92"/>
    </sheetView>
  </sheetViews>
  <sheetFormatPr defaultRowHeight="14.4" x14ac:dyDescent="0.55000000000000004"/>
  <sheetData>
    <row r="1" spans="1:17" ht="15.6" thickBot="1" x14ac:dyDescent="0.6">
      <c r="A1" s="9"/>
      <c r="B1" s="10"/>
      <c r="C1" s="14" t="s">
        <v>0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5"/>
    </row>
    <row r="2" spans="1:17" ht="15.6" thickBot="1" x14ac:dyDescent="0.6">
      <c r="A2" s="11"/>
      <c r="B2" s="12"/>
      <c r="C2" s="14" t="s">
        <v>1</v>
      </c>
      <c r="D2" s="13"/>
      <c r="E2" s="13"/>
      <c r="F2" s="13"/>
      <c r="G2" s="15"/>
      <c r="H2" s="14" t="s">
        <v>2</v>
      </c>
      <c r="I2" s="13"/>
      <c r="J2" s="13"/>
      <c r="K2" s="13"/>
      <c r="L2" s="15"/>
      <c r="M2" s="14" t="s">
        <v>3</v>
      </c>
      <c r="N2" s="13"/>
      <c r="O2" s="13"/>
      <c r="P2" s="13"/>
      <c r="Q2" s="15"/>
    </row>
    <row r="3" spans="1:17" ht="15.9" thickBot="1" x14ac:dyDescent="0.6">
      <c r="A3" s="3" t="s">
        <v>4</v>
      </c>
      <c r="B3" s="4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6</v>
      </c>
      <c r="N3" s="5" t="s">
        <v>7</v>
      </c>
      <c r="O3" s="5" t="s">
        <v>8</v>
      </c>
      <c r="P3" s="5" t="s">
        <v>9</v>
      </c>
      <c r="Q3" s="5" t="s">
        <v>10</v>
      </c>
    </row>
    <row r="4" spans="1:17" ht="14.7" thickBot="1" x14ac:dyDescent="0.6">
      <c r="A4" s="17">
        <v>500</v>
      </c>
      <c r="B4" s="6" t="s">
        <v>11</v>
      </c>
      <c r="C4" s="7">
        <v>0.08</v>
      </c>
      <c r="D4" s="7">
        <v>0.08</v>
      </c>
      <c r="E4" s="7">
        <v>0.08</v>
      </c>
      <c r="F4" s="7">
        <v>0.08</v>
      </c>
      <c r="G4" s="7">
        <f>ROUND(SUM(C4:F4)/4,2)</f>
        <v>0.08</v>
      </c>
      <c r="H4" s="7">
        <v>0.22</v>
      </c>
      <c r="I4" s="7">
        <v>0.25</v>
      </c>
      <c r="J4" s="7">
        <v>0.19</v>
      </c>
      <c r="K4" s="7">
        <v>0.18</v>
      </c>
      <c r="L4" s="7">
        <f>ROUND(SUM(H4:K4)/4,2)</f>
        <v>0.21</v>
      </c>
      <c r="M4" s="7">
        <v>0.08</v>
      </c>
      <c r="N4" s="7">
        <v>0.08</v>
      </c>
      <c r="O4" s="7">
        <v>7.0000000000000007E-2</v>
      </c>
      <c r="P4" s="7">
        <v>0.09</v>
      </c>
      <c r="Q4" s="7">
        <f>ROUND(SUM(M4:P4)/4,2)</f>
        <v>0.08</v>
      </c>
    </row>
    <row r="5" spans="1:17" ht="14.7" thickBot="1" x14ac:dyDescent="0.6">
      <c r="A5" s="16"/>
      <c r="B5" s="6" t="s">
        <v>12</v>
      </c>
      <c r="C5" s="7">
        <v>0.08</v>
      </c>
      <c r="D5" s="7">
        <v>0.08</v>
      </c>
      <c r="E5" s="7">
        <v>0.08</v>
      </c>
      <c r="F5" s="7">
        <v>0.08</v>
      </c>
      <c r="G5" s="7">
        <f t="shared" ref="G5:G27" si="0">ROUND(SUM(C5:F5)/4,2)</f>
        <v>0.08</v>
      </c>
      <c r="H5" s="7">
        <v>0.11</v>
      </c>
      <c r="I5" s="7">
        <v>0.12</v>
      </c>
      <c r="J5" s="7">
        <v>0.11</v>
      </c>
      <c r="K5" s="7">
        <v>0.11</v>
      </c>
      <c r="L5" s="7">
        <f t="shared" ref="L5:L39" si="1">ROUND(SUM(H5:K5)/4,2)</f>
        <v>0.11</v>
      </c>
      <c r="M5" s="7">
        <v>0.08</v>
      </c>
      <c r="N5" s="7">
        <v>0.08</v>
      </c>
      <c r="O5" s="7">
        <v>0.08</v>
      </c>
      <c r="P5" s="7">
        <v>7.0000000000000007E-2</v>
      </c>
      <c r="Q5" s="7">
        <f t="shared" ref="Q5:Q35" si="2">ROUND(SUM(M5:P5)/4,2)</f>
        <v>0.08</v>
      </c>
    </row>
    <row r="6" spans="1:17" ht="14.7" thickBot="1" x14ac:dyDescent="0.6">
      <c r="A6" s="16"/>
      <c r="B6" s="6" t="s">
        <v>13</v>
      </c>
      <c r="C6" s="7">
        <v>0.12</v>
      </c>
      <c r="D6" s="7">
        <v>0.08</v>
      </c>
      <c r="E6" s="7">
        <v>0.05</v>
      </c>
      <c r="F6" s="7">
        <v>0.05</v>
      </c>
      <c r="G6" s="7">
        <f t="shared" si="0"/>
        <v>0.08</v>
      </c>
      <c r="H6" s="7">
        <v>7.0000000000000007E-2</v>
      </c>
      <c r="I6" s="7">
        <v>0.03</v>
      </c>
      <c r="J6" s="7">
        <v>7.0000000000000007E-2</v>
      </c>
      <c r="K6" s="7">
        <v>7.0000000000000007E-2</v>
      </c>
      <c r="L6" s="7">
        <f t="shared" si="1"/>
        <v>0.06</v>
      </c>
      <c r="M6" s="7">
        <v>7.0000000000000007E-2</v>
      </c>
      <c r="N6" s="7">
        <v>0.08</v>
      </c>
      <c r="O6" s="7">
        <v>0.08</v>
      </c>
      <c r="P6" s="7">
        <v>0.08</v>
      </c>
      <c r="Q6" s="7">
        <f t="shared" si="2"/>
        <v>0.08</v>
      </c>
    </row>
    <row r="7" spans="1:17" ht="14.7" thickBot="1" x14ac:dyDescent="0.6">
      <c r="A7" s="18"/>
      <c r="B7" s="6" t="s">
        <v>14</v>
      </c>
      <c r="C7" s="7">
        <v>0.09</v>
      </c>
      <c r="D7" s="7">
        <v>7.0000000000000007E-2</v>
      </c>
      <c r="E7" s="7">
        <v>0.05</v>
      </c>
      <c r="F7" s="7">
        <v>0.05</v>
      </c>
      <c r="G7" s="7">
        <f t="shared" si="0"/>
        <v>7.0000000000000007E-2</v>
      </c>
      <c r="H7" s="7">
        <v>7.0000000000000007E-2</v>
      </c>
      <c r="I7" s="7">
        <v>7.0000000000000007E-2</v>
      </c>
      <c r="J7" s="7">
        <v>0.06</v>
      </c>
      <c r="K7" s="7">
        <v>0.06</v>
      </c>
      <c r="L7" s="7">
        <f t="shared" si="1"/>
        <v>7.0000000000000007E-2</v>
      </c>
      <c r="M7" s="7">
        <v>0.06</v>
      </c>
      <c r="N7" s="7">
        <v>0.05</v>
      </c>
      <c r="O7" s="7">
        <v>0.05</v>
      </c>
      <c r="P7" s="7">
        <v>0.05</v>
      </c>
      <c r="Q7" s="7">
        <f t="shared" si="2"/>
        <v>0.05</v>
      </c>
    </row>
    <row r="8" spans="1:17" ht="14.7" thickBot="1" x14ac:dyDescent="0.6">
      <c r="A8" s="17">
        <v>1000</v>
      </c>
      <c r="B8" s="6" t="s">
        <v>11</v>
      </c>
      <c r="C8" s="1">
        <v>0.08</v>
      </c>
      <c r="D8" s="2">
        <v>0.08</v>
      </c>
      <c r="E8" s="2">
        <v>0.08</v>
      </c>
      <c r="F8" s="2">
        <v>0.14000000000000001</v>
      </c>
      <c r="G8" s="7">
        <f t="shared" si="0"/>
        <v>0.1</v>
      </c>
      <c r="H8" s="2">
        <v>0.13</v>
      </c>
      <c r="I8" s="2">
        <v>0.12</v>
      </c>
      <c r="J8" s="2">
        <v>0.13</v>
      </c>
      <c r="K8" s="2">
        <v>0.14000000000000001</v>
      </c>
      <c r="L8" s="7">
        <f t="shared" si="1"/>
        <v>0.13</v>
      </c>
      <c r="M8" s="2">
        <v>0.12</v>
      </c>
      <c r="N8" s="2">
        <v>0.9</v>
      </c>
      <c r="O8" s="2">
        <v>0.1</v>
      </c>
      <c r="P8" s="2">
        <v>0.9</v>
      </c>
      <c r="Q8" s="7">
        <f t="shared" si="2"/>
        <v>0.51</v>
      </c>
    </row>
    <row r="9" spans="1:17" ht="14.7" thickBot="1" x14ac:dyDescent="0.6">
      <c r="A9" s="16"/>
      <c r="B9" s="6" t="s">
        <v>12</v>
      </c>
      <c r="C9" s="19">
        <v>0.14000000000000001</v>
      </c>
      <c r="D9" s="7">
        <v>0.12</v>
      </c>
      <c r="E9" s="7">
        <v>0.8</v>
      </c>
      <c r="F9" s="7">
        <v>0.8</v>
      </c>
      <c r="G9" s="7">
        <f t="shared" si="0"/>
        <v>0.47</v>
      </c>
      <c r="H9" s="7">
        <v>0.23</v>
      </c>
      <c r="I9" s="7">
        <v>0.22</v>
      </c>
      <c r="J9" s="7">
        <v>0.21</v>
      </c>
      <c r="K9" s="7">
        <v>0.22</v>
      </c>
      <c r="L9" s="7">
        <f t="shared" si="1"/>
        <v>0.22</v>
      </c>
      <c r="M9" s="7">
        <v>0.06</v>
      </c>
      <c r="N9" s="7">
        <v>0.6</v>
      </c>
      <c r="O9" s="7">
        <v>0.6</v>
      </c>
      <c r="P9" s="7">
        <v>0.6</v>
      </c>
      <c r="Q9" s="7">
        <f t="shared" si="2"/>
        <v>0.47</v>
      </c>
    </row>
    <row r="10" spans="1:17" ht="14.7" thickBot="1" x14ac:dyDescent="0.6">
      <c r="A10" s="16"/>
      <c r="B10" s="6" t="s">
        <v>13</v>
      </c>
      <c r="C10" s="19">
        <v>7.0000000000000007E-2</v>
      </c>
      <c r="D10" s="7">
        <v>7.0000000000000007E-2</v>
      </c>
      <c r="E10" s="7">
        <v>7.0000000000000007E-2</v>
      </c>
      <c r="F10" s="7">
        <v>0.08</v>
      </c>
      <c r="G10" s="7">
        <f t="shared" si="0"/>
        <v>7.0000000000000007E-2</v>
      </c>
      <c r="H10" s="7">
        <v>0.13</v>
      </c>
      <c r="I10" s="7">
        <v>0.13</v>
      </c>
      <c r="J10" s="7">
        <v>0.15</v>
      </c>
      <c r="K10" s="7">
        <v>0.12</v>
      </c>
      <c r="L10" s="7">
        <f t="shared" si="1"/>
        <v>0.13</v>
      </c>
      <c r="M10" s="7">
        <v>0.06</v>
      </c>
      <c r="N10" s="7">
        <v>0.06</v>
      </c>
      <c r="O10" s="7">
        <v>0.06</v>
      </c>
      <c r="P10" s="7">
        <v>7.0000000000000007E-2</v>
      </c>
      <c r="Q10" s="7">
        <f t="shared" si="2"/>
        <v>0.06</v>
      </c>
    </row>
    <row r="11" spans="1:17" ht="14.7" thickBot="1" x14ac:dyDescent="0.6">
      <c r="A11" s="18"/>
      <c r="B11" s="6" t="s">
        <v>14</v>
      </c>
      <c r="C11" s="19">
        <v>0.08</v>
      </c>
      <c r="D11" s="7">
        <v>7.0000000000000007E-2</v>
      </c>
      <c r="E11" s="7">
        <v>7.0000000000000007E-2</v>
      </c>
      <c r="F11" s="7">
        <v>0.08</v>
      </c>
      <c r="G11" s="7">
        <f t="shared" si="0"/>
        <v>0.08</v>
      </c>
      <c r="H11" s="7">
        <v>0.13</v>
      </c>
      <c r="I11" s="7">
        <v>0.12</v>
      </c>
      <c r="J11" s="7">
        <v>0.12</v>
      </c>
      <c r="K11" s="7">
        <v>0.13</v>
      </c>
      <c r="L11" s="7">
        <f t="shared" si="1"/>
        <v>0.13</v>
      </c>
      <c r="M11" s="7">
        <v>0.06</v>
      </c>
      <c r="N11" s="7">
        <v>7.0000000000000007E-2</v>
      </c>
      <c r="O11" s="7">
        <v>0.06</v>
      </c>
      <c r="P11" s="7">
        <v>0.06</v>
      </c>
      <c r="Q11" s="7">
        <f t="shared" si="2"/>
        <v>0.06</v>
      </c>
    </row>
    <row r="12" spans="1:17" ht="14.7" thickBot="1" x14ac:dyDescent="0.6">
      <c r="A12" s="17">
        <v>2000</v>
      </c>
      <c r="B12" s="6" t="s">
        <v>11</v>
      </c>
      <c r="C12" s="19">
        <v>0.15</v>
      </c>
      <c r="D12" s="7">
        <v>0.15</v>
      </c>
      <c r="E12" s="7">
        <v>0.15</v>
      </c>
      <c r="F12" s="7">
        <v>0.15</v>
      </c>
      <c r="G12" s="7">
        <f t="shared" si="0"/>
        <v>0.15</v>
      </c>
      <c r="H12" s="7">
        <v>0.3</v>
      </c>
      <c r="I12" s="7">
        <v>0.28000000000000003</v>
      </c>
      <c r="J12" s="7">
        <v>0.27</v>
      </c>
      <c r="K12" s="7">
        <v>0.3</v>
      </c>
      <c r="L12" s="7">
        <f t="shared" si="1"/>
        <v>0.28999999999999998</v>
      </c>
      <c r="M12" s="7">
        <v>7.0000000000000007E-2</v>
      </c>
      <c r="N12" s="7">
        <v>7.0000000000000007E-2</v>
      </c>
      <c r="O12" s="7">
        <v>7.0000000000000007E-2</v>
      </c>
      <c r="P12" s="7">
        <v>0.08</v>
      </c>
      <c r="Q12" s="7">
        <f t="shared" si="2"/>
        <v>7.0000000000000007E-2</v>
      </c>
    </row>
    <row r="13" spans="1:17" ht="14.7" thickBot="1" x14ac:dyDescent="0.6">
      <c r="A13" s="16"/>
      <c r="B13" s="6" t="s">
        <v>12</v>
      </c>
      <c r="C13" s="19">
        <v>0.15</v>
      </c>
      <c r="D13" s="7">
        <v>0.17</v>
      </c>
      <c r="E13" s="7">
        <v>0.15</v>
      </c>
      <c r="F13" s="7">
        <v>0.15</v>
      </c>
      <c r="G13" s="7">
        <f t="shared" si="0"/>
        <v>0.16</v>
      </c>
      <c r="H13" s="7">
        <v>0.28000000000000003</v>
      </c>
      <c r="I13" s="7">
        <v>0.31</v>
      </c>
      <c r="J13" s="7">
        <v>0.28000000000000003</v>
      </c>
      <c r="K13" s="7">
        <v>0.27</v>
      </c>
      <c r="L13" s="7">
        <f t="shared" si="1"/>
        <v>0.28999999999999998</v>
      </c>
      <c r="M13" s="7">
        <v>0.09</v>
      </c>
      <c r="N13" s="7">
        <v>0.09</v>
      </c>
      <c r="O13" s="7">
        <v>7.0000000000000007E-2</v>
      </c>
      <c r="P13" s="7">
        <v>0.08</v>
      </c>
      <c r="Q13" s="7">
        <f t="shared" si="2"/>
        <v>0.08</v>
      </c>
    </row>
    <row r="14" spans="1:17" ht="14.7" thickBot="1" x14ac:dyDescent="0.6">
      <c r="A14" s="16"/>
      <c r="B14" s="6" t="s">
        <v>13</v>
      </c>
      <c r="C14" s="19">
        <v>0.27</v>
      </c>
      <c r="D14" s="7">
        <v>0.24</v>
      </c>
      <c r="E14" s="7">
        <v>0.25</v>
      </c>
      <c r="F14" s="7">
        <v>0.25</v>
      </c>
      <c r="G14" s="7">
        <f t="shared" si="0"/>
        <v>0.25</v>
      </c>
      <c r="H14" s="7">
        <v>0.28999999999999998</v>
      </c>
      <c r="I14" s="7">
        <v>0.27</v>
      </c>
      <c r="J14" s="7">
        <v>0.52</v>
      </c>
      <c r="K14" s="7">
        <v>0.52</v>
      </c>
      <c r="L14" s="7">
        <f t="shared" si="1"/>
        <v>0.4</v>
      </c>
      <c r="M14" s="7">
        <v>0.13</v>
      </c>
      <c r="N14" s="7">
        <v>0.08</v>
      </c>
      <c r="O14" s="7">
        <v>7.0000000000000007E-2</v>
      </c>
      <c r="P14" s="7">
        <v>7.0000000000000007E-2</v>
      </c>
      <c r="Q14" s="7">
        <f t="shared" si="2"/>
        <v>0.09</v>
      </c>
    </row>
    <row r="15" spans="1:17" ht="14.7" thickBot="1" x14ac:dyDescent="0.6">
      <c r="A15" s="18"/>
      <c r="B15" s="6" t="s">
        <v>14</v>
      </c>
      <c r="C15" s="19">
        <v>0.15</v>
      </c>
      <c r="D15" s="7">
        <v>0.16</v>
      </c>
      <c r="E15" s="7">
        <v>0.14000000000000001</v>
      </c>
      <c r="F15" s="7">
        <v>0.14000000000000001</v>
      </c>
      <c r="G15" s="7">
        <f t="shared" si="0"/>
        <v>0.15</v>
      </c>
      <c r="H15" s="7">
        <v>0.28000000000000003</v>
      </c>
      <c r="I15" s="7">
        <v>0.3</v>
      </c>
      <c r="J15" s="7">
        <v>0.27</v>
      </c>
      <c r="K15" s="7">
        <v>0.28000000000000003</v>
      </c>
      <c r="L15" s="7">
        <f t="shared" si="1"/>
        <v>0.28000000000000003</v>
      </c>
      <c r="M15" s="7">
        <v>7.0000000000000007E-2</v>
      </c>
      <c r="N15" s="7">
        <v>7.0000000000000007E-2</v>
      </c>
      <c r="O15" s="7">
        <v>7.0000000000000007E-2</v>
      </c>
      <c r="P15" s="7">
        <v>0.08</v>
      </c>
      <c r="Q15" s="7">
        <f t="shared" si="2"/>
        <v>7.0000000000000007E-2</v>
      </c>
    </row>
    <row r="16" spans="1:17" ht="14.7" thickBot="1" x14ac:dyDescent="0.6">
      <c r="A16" s="17">
        <v>5000</v>
      </c>
      <c r="B16" s="6" t="s">
        <v>11</v>
      </c>
      <c r="C16" s="7">
        <v>0.69</v>
      </c>
      <c r="D16" s="7">
        <v>0.69</v>
      </c>
      <c r="E16" s="7">
        <v>0.66</v>
      </c>
      <c r="F16" s="7">
        <v>0.69</v>
      </c>
      <c r="G16" s="7">
        <f t="shared" si="0"/>
        <v>0.68</v>
      </c>
      <c r="H16" s="7">
        <v>1.44</v>
      </c>
      <c r="I16" s="8">
        <v>1.39</v>
      </c>
      <c r="J16" s="7">
        <v>1.43</v>
      </c>
      <c r="K16" s="7">
        <v>1.39</v>
      </c>
      <c r="L16" s="7">
        <f t="shared" si="1"/>
        <v>1.41</v>
      </c>
      <c r="M16" s="7">
        <v>0.13</v>
      </c>
      <c r="N16" s="7">
        <v>0.13</v>
      </c>
      <c r="O16" s="7">
        <v>0.13</v>
      </c>
      <c r="P16" s="7">
        <v>0.12</v>
      </c>
      <c r="Q16" s="7">
        <f t="shared" si="2"/>
        <v>0.13</v>
      </c>
    </row>
    <row r="17" spans="1:17" ht="14.7" thickBot="1" x14ac:dyDescent="0.6">
      <c r="A17" s="16"/>
      <c r="B17" s="6" t="s">
        <v>12</v>
      </c>
      <c r="C17" s="7">
        <v>0.66</v>
      </c>
      <c r="D17" s="7">
        <v>0.66</v>
      </c>
      <c r="E17" s="7">
        <v>0.68</v>
      </c>
      <c r="F17" s="7">
        <v>0.65</v>
      </c>
      <c r="G17" s="7">
        <f t="shared" si="0"/>
        <v>0.66</v>
      </c>
      <c r="H17" s="7">
        <v>2.14</v>
      </c>
      <c r="I17" s="7">
        <v>2.09</v>
      </c>
      <c r="J17" s="7">
        <v>1.4</v>
      </c>
      <c r="K17" s="7">
        <v>1.46</v>
      </c>
      <c r="L17" s="7">
        <f t="shared" si="1"/>
        <v>1.77</v>
      </c>
      <c r="M17" s="7">
        <v>0.13</v>
      </c>
      <c r="N17" s="7">
        <v>0.12</v>
      </c>
      <c r="O17" s="7">
        <v>0.13</v>
      </c>
      <c r="P17" s="7">
        <v>0.13</v>
      </c>
      <c r="Q17" s="7">
        <f t="shared" si="2"/>
        <v>0.13</v>
      </c>
    </row>
    <row r="18" spans="1:17" ht="14.7" thickBot="1" x14ac:dyDescent="0.6">
      <c r="A18" s="16"/>
      <c r="B18" s="6" t="s">
        <v>13</v>
      </c>
      <c r="C18" s="7">
        <v>0.66</v>
      </c>
      <c r="D18" s="7">
        <v>0.73</v>
      </c>
      <c r="E18" s="7">
        <v>0.63</v>
      </c>
      <c r="F18" s="7">
        <v>0.66</v>
      </c>
      <c r="G18" s="7">
        <f t="shared" si="0"/>
        <v>0.67</v>
      </c>
      <c r="H18" s="7">
        <v>1.4</v>
      </c>
      <c r="I18" s="7">
        <v>1.46</v>
      </c>
      <c r="J18" s="7">
        <v>2.7</v>
      </c>
      <c r="K18" s="7">
        <v>1.41</v>
      </c>
      <c r="L18" s="7">
        <f t="shared" si="1"/>
        <v>1.74</v>
      </c>
      <c r="M18" s="7">
        <v>0.12</v>
      </c>
      <c r="N18" s="7">
        <v>0.13</v>
      </c>
      <c r="O18" s="7">
        <v>0.13</v>
      </c>
      <c r="P18" s="7">
        <v>0.12</v>
      </c>
      <c r="Q18" s="7">
        <f t="shared" si="2"/>
        <v>0.13</v>
      </c>
    </row>
    <row r="19" spans="1:17" ht="14.7" thickBot="1" x14ac:dyDescent="0.6">
      <c r="A19" s="18"/>
      <c r="B19" s="6" t="s">
        <v>14</v>
      </c>
      <c r="C19" s="7">
        <v>1.18</v>
      </c>
      <c r="D19" s="7">
        <v>0.64</v>
      </c>
      <c r="E19" s="7">
        <v>0.69</v>
      </c>
      <c r="F19" s="7">
        <v>0.67</v>
      </c>
      <c r="G19" s="7">
        <f t="shared" si="0"/>
        <v>0.8</v>
      </c>
      <c r="H19" s="7">
        <v>1.39</v>
      </c>
      <c r="I19" s="7">
        <v>1.39</v>
      </c>
      <c r="J19" s="7">
        <v>1.44</v>
      </c>
      <c r="K19" s="7">
        <v>2.25</v>
      </c>
      <c r="L19" s="7">
        <f t="shared" si="1"/>
        <v>1.62</v>
      </c>
      <c r="M19" s="7">
        <v>0.13</v>
      </c>
      <c r="N19" s="7">
        <v>0.12</v>
      </c>
      <c r="O19" s="7">
        <v>0.12</v>
      </c>
      <c r="P19" s="7">
        <v>0.13</v>
      </c>
      <c r="Q19" s="7">
        <f t="shared" si="2"/>
        <v>0.13</v>
      </c>
    </row>
    <row r="20" spans="1:17" ht="14.7" thickBot="1" x14ac:dyDescent="0.6">
      <c r="A20" s="17" t="s">
        <v>15</v>
      </c>
      <c r="B20" s="6" t="s">
        <v>11</v>
      </c>
      <c r="C20" s="7">
        <v>3.15</v>
      </c>
      <c r="D20" s="7">
        <v>3.13</v>
      </c>
      <c r="E20" s="7">
        <v>3.53</v>
      </c>
      <c r="F20" s="7">
        <v>3.73</v>
      </c>
      <c r="G20" s="7">
        <f t="shared" si="0"/>
        <v>3.39</v>
      </c>
      <c r="H20" s="7">
        <v>5.29</v>
      </c>
      <c r="I20" s="7">
        <v>6.66</v>
      </c>
      <c r="J20" s="7">
        <v>5.24</v>
      </c>
      <c r="K20" s="7">
        <v>6.71</v>
      </c>
      <c r="L20" s="7">
        <f t="shared" si="1"/>
        <v>5.98</v>
      </c>
      <c r="M20" s="7">
        <v>0.23</v>
      </c>
      <c r="N20" s="7">
        <v>0.22</v>
      </c>
      <c r="O20" s="7">
        <v>0.23</v>
      </c>
      <c r="P20" s="7">
        <v>0.24</v>
      </c>
      <c r="Q20" s="7">
        <f t="shared" si="2"/>
        <v>0.23</v>
      </c>
    </row>
    <row r="21" spans="1:17" ht="14.7" thickBot="1" x14ac:dyDescent="0.6">
      <c r="A21" s="16"/>
      <c r="B21" s="6" t="s">
        <v>12</v>
      </c>
      <c r="C21" s="7">
        <v>3.13</v>
      </c>
      <c r="D21" s="7">
        <v>3.12</v>
      </c>
      <c r="E21" s="7">
        <v>3.79</v>
      </c>
      <c r="F21" s="7">
        <v>3.45</v>
      </c>
      <c r="G21" s="7">
        <f t="shared" si="0"/>
        <v>3.37</v>
      </c>
      <c r="H21" s="7">
        <v>5.26</v>
      </c>
      <c r="I21" s="7">
        <v>6.73</v>
      </c>
      <c r="J21" s="7">
        <v>5.21</v>
      </c>
      <c r="K21" s="7">
        <v>6.71</v>
      </c>
      <c r="L21" s="7">
        <f t="shared" si="1"/>
        <v>5.98</v>
      </c>
      <c r="M21" s="7">
        <v>0.21</v>
      </c>
      <c r="N21" s="7">
        <v>0.22</v>
      </c>
      <c r="O21" s="7">
        <v>0.22</v>
      </c>
      <c r="P21" s="7">
        <v>0.24</v>
      </c>
      <c r="Q21" s="7">
        <f t="shared" si="2"/>
        <v>0.22</v>
      </c>
    </row>
    <row r="22" spans="1:17" ht="14.7" thickBot="1" x14ac:dyDescent="0.6">
      <c r="A22" s="16"/>
      <c r="B22" s="6" t="s">
        <v>13</v>
      </c>
      <c r="C22" s="7">
        <v>3.11</v>
      </c>
      <c r="D22" s="7">
        <v>3.13</v>
      </c>
      <c r="E22" s="7">
        <v>4.0999999999999996</v>
      </c>
      <c r="F22" s="7">
        <v>3.08</v>
      </c>
      <c r="G22" s="7">
        <f t="shared" si="0"/>
        <v>3.36</v>
      </c>
      <c r="H22" s="7">
        <v>5.36</v>
      </c>
      <c r="I22" s="7">
        <v>6.71</v>
      </c>
      <c r="J22" s="7">
        <v>5.19</v>
      </c>
      <c r="K22" s="7">
        <v>6.72</v>
      </c>
      <c r="L22" s="7">
        <f t="shared" si="1"/>
        <v>6</v>
      </c>
      <c r="M22" s="7">
        <v>0.23</v>
      </c>
      <c r="N22" s="7">
        <v>0.22</v>
      </c>
      <c r="O22" s="7">
        <v>0.22</v>
      </c>
      <c r="P22" s="7">
        <v>0.22</v>
      </c>
      <c r="Q22" s="7">
        <f t="shared" si="2"/>
        <v>0.22</v>
      </c>
    </row>
    <row r="23" spans="1:17" ht="14.7" thickBot="1" x14ac:dyDescent="0.6">
      <c r="A23" s="18"/>
      <c r="B23" s="6" t="s">
        <v>14</v>
      </c>
      <c r="C23" s="7">
        <v>3.13</v>
      </c>
      <c r="D23" s="7">
        <v>3.13</v>
      </c>
      <c r="E23" s="7">
        <v>4.1100000000000003</v>
      </c>
      <c r="F23" s="7">
        <v>3.1</v>
      </c>
      <c r="G23" s="7">
        <f t="shared" si="0"/>
        <v>3.37</v>
      </c>
      <c r="H23" s="7">
        <v>5.24</v>
      </c>
      <c r="I23" s="7">
        <v>6.67</v>
      </c>
      <c r="J23" s="7">
        <v>5.18</v>
      </c>
      <c r="K23" s="7">
        <v>6.71</v>
      </c>
      <c r="L23" s="7">
        <f t="shared" si="1"/>
        <v>5.95</v>
      </c>
      <c r="M23" s="7">
        <v>0.22</v>
      </c>
      <c r="N23" s="7">
        <v>0.21</v>
      </c>
      <c r="O23" s="7">
        <v>0.21</v>
      </c>
      <c r="P23" s="7">
        <v>0.21</v>
      </c>
      <c r="Q23" s="7">
        <f t="shared" si="2"/>
        <v>0.21</v>
      </c>
    </row>
    <row r="24" spans="1:17" ht="14.7" thickBot="1" x14ac:dyDescent="0.6">
      <c r="A24" s="17" t="s">
        <v>16</v>
      </c>
      <c r="B24" s="6" t="s">
        <v>11</v>
      </c>
      <c r="C24" s="7">
        <v>18.670000000000002</v>
      </c>
      <c r="D24" s="7">
        <v>17.27</v>
      </c>
      <c r="E24" s="7">
        <v>17.989999999999998</v>
      </c>
      <c r="F24" s="7">
        <v>17.559999999999999</v>
      </c>
      <c r="G24" s="7">
        <f t="shared" si="0"/>
        <v>17.87</v>
      </c>
      <c r="H24" s="7">
        <v>25.35</v>
      </c>
      <c r="I24" s="7">
        <v>23.94</v>
      </c>
      <c r="J24" s="7">
        <v>22.7</v>
      </c>
      <c r="K24" s="7">
        <v>23.47</v>
      </c>
      <c r="L24" s="7">
        <f t="shared" si="1"/>
        <v>23.87</v>
      </c>
      <c r="M24" s="7">
        <v>0.4</v>
      </c>
      <c r="N24" s="7">
        <v>0.41</v>
      </c>
      <c r="O24" s="7">
        <v>0.4</v>
      </c>
      <c r="P24" s="7">
        <v>0.41</v>
      </c>
      <c r="Q24" s="7">
        <f t="shared" si="2"/>
        <v>0.41</v>
      </c>
    </row>
    <row r="25" spans="1:17" ht="14.7" thickBot="1" x14ac:dyDescent="0.6">
      <c r="A25" s="16"/>
      <c r="B25" s="6" t="s">
        <v>12</v>
      </c>
      <c r="C25" s="7">
        <v>17.18</v>
      </c>
      <c r="D25" s="7">
        <v>16.5</v>
      </c>
      <c r="E25" s="7">
        <v>18.29</v>
      </c>
      <c r="F25" s="7">
        <v>17.239999999999998</v>
      </c>
      <c r="G25" s="7">
        <f t="shared" si="0"/>
        <v>17.3</v>
      </c>
      <c r="H25" s="7">
        <v>23.78</v>
      </c>
      <c r="I25" s="7">
        <v>23.75</v>
      </c>
      <c r="J25" s="7">
        <v>23.77</v>
      </c>
      <c r="K25" s="7">
        <v>25.39</v>
      </c>
      <c r="L25" s="7">
        <f t="shared" si="1"/>
        <v>24.17</v>
      </c>
      <c r="M25" s="7">
        <v>0.4</v>
      </c>
      <c r="N25" s="7">
        <v>0.4</v>
      </c>
      <c r="O25" s="7">
        <v>0.4</v>
      </c>
      <c r="P25" s="7">
        <v>0.41</v>
      </c>
      <c r="Q25" s="7">
        <f t="shared" si="2"/>
        <v>0.4</v>
      </c>
    </row>
    <row r="26" spans="1:17" ht="14.7" thickBot="1" x14ac:dyDescent="0.6">
      <c r="A26" s="16"/>
      <c r="B26" s="6" t="s">
        <v>13</v>
      </c>
      <c r="C26" s="7">
        <v>17.45</v>
      </c>
      <c r="D26" s="7">
        <v>18.39</v>
      </c>
      <c r="E26" s="7">
        <v>18.62</v>
      </c>
      <c r="F26" s="7">
        <v>21.11</v>
      </c>
      <c r="G26" s="7">
        <f t="shared" si="0"/>
        <v>18.89</v>
      </c>
      <c r="H26" s="7">
        <v>24.44</v>
      </c>
      <c r="I26" s="7">
        <v>24.06</v>
      </c>
      <c r="J26" s="7">
        <v>23.79</v>
      </c>
      <c r="K26" s="7">
        <v>23.82</v>
      </c>
      <c r="L26" s="7">
        <f>ROUND(SUM(H26:K26)/4,2)</f>
        <v>24.03</v>
      </c>
      <c r="M26" s="7">
        <v>0.41</v>
      </c>
      <c r="N26" s="7">
        <v>0.4</v>
      </c>
      <c r="O26" s="7">
        <v>0.42</v>
      </c>
      <c r="P26" s="7">
        <v>0.41</v>
      </c>
      <c r="Q26" s="7">
        <f t="shared" si="2"/>
        <v>0.41</v>
      </c>
    </row>
    <row r="27" spans="1:17" ht="14.7" thickBot="1" x14ac:dyDescent="0.6">
      <c r="A27" s="18"/>
      <c r="B27" s="6" t="s">
        <v>14</v>
      </c>
      <c r="C27" s="7">
        <v>18.43</v>
      </c>
      <c r="D27" s="7">
        <v>17.399999999999999</v>
      </c>
      <c r="E27" s="7">
        <v>17.27</v>
      </c>
      <c r="F27" s="7">
        <v>18.5</v>
      </c>
      <c r="G27" s="7">
        <f t="shared" si="0"/>
        <v>17.899999999999999</v>
      </c>
      <c r="H27" s="7">
        <v>23.95</v>
      </c>
      <c r="I27" s="7">
        <v>23.73</v>
      </c>
      <c r="J27" s="7">
        <v>22.27</v>
      </c>
      <c r="K27" s="7">
        <v>23.71</v>
      </c>
      <c r="L27" s="7">
        <f t="shared" si="1"/>
        <v>23.42</v>
      </c>
      <c r="M27" s="7">
        <v>0.42</v>
      </c>
      <c r="N27" s="7">
        <v>0.39</v>
      </c>
      <c r="O27" s="7">
        <v>0.42</v>
      </c>
      <c r="P27" s="7">
        <v>0.4</v>
      </c>
      <c r="Q27" s="7">
        <f t="shared" si="2"/>
        <v>0.41</v>
      </c>
    </row>
    <row r="28" spans="1:17" ht="14.7" thickBot="1" x14ac:dyDescent="0.6">
      <c r="A28" s="17" t="s">
        <v>17</v>
      </c>
      <c r="B28" s="6" t="s">
        <v>11</v>
      </c>
      <c r="C28" s="7">
        <v>271.2</v>
      </c>
      <c r="D28" s="7">
        <v>258.39999999999998</v>
      </c>
      <c r="E28" s="7">
        <v>262.7</v>
      </c>
      <c r="F28" s="7">
        <v>259.8</v>
      </c>
      <c r="G28" s="7">
        <f>ROUND(SUM(C28:F28)/4,1)</f>
        <v>263</v>
      </c>
      <c r="H28" s="7">
        <v>154.80000000000001</v>
      </c>
      <c r="I28" s="7">
        <v>156</v>
      </c>
      <c r="J28" s="7">
        <v>153.6</v>
      </c>
      <c r="K28" s="7">
        <v>154.9</v>
      </c>
      <c r="L28" s="7">
        <f>ROUND(SUM(H28:K28)/4,1)</f>
        <v>154.80000000000001</v>
      </c>
      <c r="M28" s="7">
        <v>1.5</v>
      </c>
      <c r="N28" s="7">
        <v>1.06</v>
      </c>
      <c r="O28" s="7">
        <v>1.0900000000000001</v>
      </c>
      <c r="P28" s="7">
        <v>1.06</v>
      </c>
      <c r="Q28" s="7">
        <f>ROUND(SUM(M28:P28)/4,2)</f>
        <v>1.18</v>
      </c>
    </row>
    <row r="29" spans="1:17" ht="14.7" thickBot="1" x14ac:dyDescent="0.6">
      <c r="A29" s="16"/>
      <c r="B29" s="6" t="s">
        <v>12</v>
      </c>
      <c r="C29" s="7">
        <v>166.9</v>
      </c>
      <c r="D29" s="7">
        <v>165.9</v>
      </c>
      <c r="E29" s="7">
        <v>167</v>
      </c>
      <c r="F29" s="7">
        <v>168.8</v>
      </c>
      <c r="G29" s="7">
        <f t="shared" ref="G5:G39" si="3">SUM(C29:F29)/4</f>
        <v>167.15</v>
      </c>
      <c r="H29" s="7">
        <v>153.80000000000001</v>
      </c>
      <c r="I29" s="7">
        <v>152.19999999999999</v>
      </c>
      <c r="J29" s="7">
        <v>155.30000000000001</v>
      </c>
      <c r="K29" s="7">
        <v>154.4</v>
      </c>
      <c r="L29" s="7">
        <f t="shared" ref="L29:L39" si="4">ROUND(SUM(H29:K29)/4,1)</f>
        <v>153.9</v>
      </c>
      <c r="M29" s="7">
        <v>1.08</v>
      </c>
      <c r="N29" s="7">
        <v>1.07</v>
      </c>
      <c r="O29" s="7">
        <v>1.07</v>
      </c>
      <c r="P29" s="7">
        <v>1.06</v>
      </c>
      <c r="Q29" s="7">
        <f t="shared" si="2"/>
        <v>1.07</v>
      </c>
    </row>
    <row r="30" spans="1:17" ht="14.7" thickBot="1" x14ac:dyDescent="0.6">
      <c r="A30" s="16"/>
      <c r="B30" s="6" t="s">
        <v>13</v>
      </c>
      <c r="C30" s="7">
        <v>272.7</v>
      </c>
      <c r="D30" s="7">
        <v>281.5</v>
      </c>
      <c r="E30" s="7">
        <v>267.60000000000002</v>
      </c>
      <c r="F30" s="7">
        <v>268.2</v>
      </c>
      <c r="G30" s="7">
        <f t="shared" si="3"/>
        <v>272.5</v>
      </c>
      <c r="H30" s="7">
        <v>155.30000000000001</v>
      </c>
      <c r="I30" s="7">
        <v>152.9</v>
      </c>
      <c r="J30" s="7">
        <v>156.5</v>
      </c>
      <c r="K30" s="7">
        <v>154.6</v>
      </c>
      <c r="L30" s="7">
        <f t="shared" si="4"/>
        <v>154.80000000000001</v>
      </c>
      <c r="M30" s="7">
        <v>1.08</v>
      </c>
      <c r="N30" s="7">
        <v>1.1000000000000001</v>
      </c>
      <c r="O30" s="7">
        <v>1.07</v>
      </c>
      <c r="P30" s="7">
        <v>1.07</v>
      </c>
      <c r="Q30" s="7">
        <f t="shared" si="2"/>
        <v>1.08</v>
      </c>
    </row>
    <row r="31" spans="1:17" ht="14.7" thickBot="1" x14ac:dyDescent="0.6">
      <c r="A31" s="18"/>
      <c r="B31" s="6" t="s">
        <v>14</v>
      </c>
      <c r="C31" s="7">
        <v>272.3</v>
      </c>
      <c r="D31" s="7">
        <v>278.8</v>
      </c>
      <c r="E31" s="7">
        <v>270.89999999999998</v>
      </c>
      <c r="F31" s="7">
        <v>270.8</v>
      </c>
      <c r="G31" s="7">
        <f t="shared" si="3"/>
        <v>273.2</v>
      </c>
      <c r="H31" s="7">
        <v>153.5</v>
      </c>
      <c r="I31" s="7">
        <v>157.6</v>
      </c>
      <c r="J31" s="7">
        <v>155.69999999999999</v>
      </c>
      <c r="K31" s="7">
        <v>155.4</v>
      </c>
      <c r="L31" s="7">
        <f t="shared" si="4"/>
        <v>155.6</v>
      </c>
      <c r="M31" s="7">
        <v>1.07</v>
      </c>
      <c r="N31" s="7">
        <v>1.0900000000000001</v>
      </c>
      <c r="O31" s="7">
        <v>1.1000000000000001</v>
      </c>
      <c r="P31" s="7">
        <v>1.1100000000000001</v>
      </c>
      <c r="Q31" s="7">
        <f t="shared" si="2"/>
        <v>1.0900000000000001</v>
      </c>
    </row>
    <row r="32" spans="1:17" ht="14.7" thickBot="1" x14ac:dyDescent="0.6">
      <c r="A32" s="17" t="s">
        <v>18</v>
      </c>
      <c r="B32" s="6" t="s">
        <v>11</v>
      </c>
      <c r="C32" s="7">
        <v>1361</v>
      </c>
      <c r="D32" s="7"/>
      <c r="E32" s="7"/>
      <c r="F32" s="7"/>
      <c r="G32" s="20">
        <v>1361</v>
      </c>
      <c r="H32" s="7">
        <v>631</v>
      </c>
      <c r="I32" s="7">
        <v>618</v>
      </c>
      <c r="J32" s="7">
        <v>604</v>
      </c>
      <c r="K32" s="7">
        <v>605</v>
      </c>
      <c r="L32" s="20">
        <v>614.29999999999995</v>
      </c>
      <c r="M32" s="7">
        <v>2.5299999999999998</v>
      </c>
      <c r="N32" s="7">
        <v>2.09</v>
      </c>
      <c r="O32" s="7">
        <v>2.09</v>
      </c>
      <c r="P32" s="7">
        <v>2.1</v>
      </c>
      <c r="Q32" s="7">
        <f t="shared" si="2"/>
        <v>2.2000000000000002</v>
      </c>
    </row>
    <row r="33" spans="1:17" ht="14.7" thickBot="1" x14ac:dyDescent="0.6">
      <c r="A33" s="16"/>
      <c r="B33" s="6" t="s">
        <v>12</v>
      </c>
      <c r="C33" s="7">
        <v>1339</v>
      </c>
      <c r="D33" s="7"/>
      <c r="E33" s="7"/>
      <c r="F33" s="7"/>
      <c r="G33" s="21">
        <v>1339</v>
      </c>
      <c r="H33" s="7">
        <v>587</v>
      </c>
      <c r="I33" s="7">
        <v>589</v>
      </c>
      <c r="J33" s="7"/>
      <c r="K33" s="7"/>
      <c r="L33" s="22">
        <v>588</v>
      </c>
      <c r="M33" s="7">
        <v>2.1</v>
      </c>
      <c r="N33" s="7">
        <v>2.1</v>
      </c>
      <c r="O33" s="7">
        <v>2.0499999999999998</v>
      </c>
      <c r="P33" s="7">
        <v>2.06</v>
      </c>
      <c r="Q33" s="7">
        <f t="shared" si="2"/>
        <v>2.08</v>
      </c>
    </row>
    <row r="34" spans="1:17" ht="14.7" thickBot="1" x14ac:dyDescent="0.6">
      <c r="A34" s="16"/>
      <c r="B34" s="6" t="s">
        <v>13</v>
      </c>
      <c r="C34" s="7">
        <v>1329</v>
      </c>
      <c r="D34" s="7"/>
      <c r="E34" s="7"/>
      <c r="F34" s="7"/>
      <c r="G34" s="22">
        <v>1329</v>
      </c>
      <c r="H34" s="7">
        <v>594</v>
      </c>
      <c r="I34" s="7"/>
      <c r="J34" s="7"/>
      <c r="K34" s="7"/>
      <c r="L34" s="22">
        <v>594</v>
      </c>
      <c r="M34" s="7">
        <v>2.09</v>
      </c>
      <c r="N34" s="7">
        <v>2.1</v>
      </c>
      <c r="O34" s="7">
        <v>2.08</v>
      </c>
      <c r="P34" s="7">
        <v>2.1</v>
      </c>
      <c r="Q34" s="7">
        <f t="shared" si="2"/>
        <v>2.09</v>
      </c>
    </row>
    <row r="35" spans="1:17" ht="14.7" thickBot="1" x14ac:dyDescent="0.6">
      <c r="A35" s="18"/>
      <c r="B35" s="6" t="s">
        <v>14</v>
      </c>
      <c r="C35" s="7">
        <v>1333</v>
      </c>
      <c r="D35" s="7"/>
      <c r="E35" s="7"/>
      <c r="F35" s="7"/>
      <c r="G35" s="22">
        <v>1333</v>
      </c>
      <c r="H35" s="7">
        <v>642</v>
      </c>
      <c r="I35" s="7">
        <v>588</v>
      </c>
      <c r="J35" s="7"/>
      <c r="K35" s="7"/>
      <c r="L35" s="22">
        <v>588</v>
      </c>
      <c r="M35" s="1">
        <v>2.09</v>
      </c>
      <c r="N35" s="2">
        <v>2.09</v>
      </c>
      <c r="O35" s="2">
        <v>2.67</v>
      </c>
      <c r="P35" s="2">
        <v>2.12</v>
      </c>
      <c r="Q35" s="7">
        <f t="shared" si="2"/>
        <v>2.2400000000000002</v>
      </c>
    </row>
    <row r="36" spans="1:17" ht="14.7" thickBot="1" x14ac:dyDescent="0.6">
      <c r="A36" s="17" t="s">
        <v>19</v>
      </c>
      <c r="B36" s="6" t="s">
        <v>11</v>
      </c>
      <c r="C36" s="7"/>
      <c r="D36" s="7"/>
      <c r="E36" s="7"/>
      <c r="F36" s="7"/>
      <c r="G36" s="7">
        <f t="shared" si="3"/>
        <v>0</v>
      </c>
      <c r="H36" s="7"/>
      <c r="I36" s="7"/>
      <c r="J36" s="7"/>
      <c r="K36" s="7"/>
      <c r="L36" s="7">
        <f t="shared" si="4"/>
        <v>0</v>
      </c>
      <c r="M36" s="7"/>
      <c r="N36" s="7"/>
      <c r="O36" s="7"/>
      <c r="P36" s="7"/>
      <c r="Q36" s="7">
        <f t="shared" ref="Q5:Q39" si="5">SUM(M36:P36)/4</f>
        <v>0</v>
      </c>
    </row>
    <row r="37" spans="1:17" ht="14.7" thickBot="1" x14ac:dyDescent="0.6">
      <c r="A37" s="16"/>
      <c r="B37" s="6" t="s">
        <v>12</v>
      </c>
      <c r="C37" s="7"/>
      <c r="D37" s="7"/>
      <c r="E37" s="7"/>
      <c r="F37" s="7"/>
      <c r="G37" s="7">
        <f t="shared" si="3"/>
        <v>0</v>
      </c>
      <c r="H37" s="7"/>
      <c r="I37" s="7"/>
      <c r="J37" s="7"/>
      <c r="K37" s="7"/>
      <c r="L37" s="7">
        <f t="shared" si="4"/>
        <v>0</v>
      </c>
      <c r="M37" s="7"/>
      <c r="N37" s="7"/>
      <c r="O37" s="7"/>
      <c r="P37" s="7"/>
      <c r="Q37" s="7">
        <f t="shared" si="5"/>
        <v>0</v>
      </c>
    </row>
    <row r="38" spans="1:17" ht="14.7" thickBot="1" x14ac:dyDescent="0.6">
      <c r="A38" s="16"/>
      <c r="B38" s="6" t="s">
        <v>13</v>
      </c>
      <c r="C38" s="7"/>
      <c r="D38" s="7"/>
      <c r="E38" s="7"/>
      <c r="F38" s="7"/>
      <c r="G38" s="7">
        <f t="shared" si="3"/>
        <v>0</v>
      </c>
      <c r="H38" s="7"/>
      <c r="I38" s="7"/>
      <c r="J38" s="7"/>
      <c r="K38" s="7"/>
      <c r="L38" s="7">
        <f t="shared" si="4"/>
        <v>0</v>
      </c>
      <c r="M38" s="7"/>
      <c r="N38" s="7"/>
      <c r="O38" s="7"/>
      <c r="P38" s="7"/>
      <c r="Q38" s="7">
        <f t="shared" si="5"/>
        <v>0</v>
      </c>
    </row>
    <row r="39" spans="1:17" ht="14.7" thickBot="1" x14ac:dyDescent="0.6">
      <c r="A39" s="18"/>
      <c r="B39" s="6" t="s">
        <v>14</v>
      </c>
      <c r="C39" s="7"/>
      <c r="D39" s="7"/>
      <c r="E39" s="7"/>
      <c r="F39" s="7"/>
      <c r="G39" s="7">
        <f t="shared" si="3"/>
        <v>0</v>
      </c>
      <c r="H39" s="7"/>
      <c r="I39" s="7"/>
      <c r="J39" s="7"/>
      <c r="K39" s="7"/>
      <c r="L39" s="7">
        <f t="shared" si="4"/>
        <v>0</v>
      </c>
      <c r="M39" s="7"/>
      <c r="N39" s="7"/>
      <c r="O39" s="7"/>
      <c r="P39" s="7"/>
      <c r="Q39" s="7">
        <f t="shared" si="5"/>
        <v>0</v>
      </c>
    </row>
  </sheetData>
  <mergeCells count="14">
    <mergeCell ref="A32:A35"/>
    <mergeCell ref="A36:A39"/>
    <mergeCell ref="A8:A11"/>
    <mergeCell ref="A12:A15"/>
    <mergeCell ref="A16:A19"/>
    <mergeCell ref="A20:A23"/>
    <mergeCell ref="A24:A27"/>
    <mergeCell ref="A28:A31"/>
    <mergeCell ref="A1:B2"/>
    <mergeCell ref="C1:Q1"/>
    <mergeCell ref="C2:G2"/>
    <mergeCell ref="H2:L2"/>
    <mergeCell ref="M2:Q2"/>
    <mergeCell ref="A4:A7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</dc:creator>
  <cp:lastModifiedBy>Alireza</cp:lastModifiedBy>
  <dcterms:created xsi:type="dcterms:W3CDTF">2015-06-05T18:17:20Z</dcterms:created>
  <dcterms:modified xsi:type="dcterms:W3CDTF">2023-09-07T14:45:43Z</dcterms:modified>
</cp:coreProperties>
</file>